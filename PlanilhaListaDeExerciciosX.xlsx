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io\Downloads\ex\"/>
    </mc:Choice>
  </mc:AlternateContent>
  <xr:revisionPtr revIDLastSave="0" documentId="13_ncr:1_{DA624384-ADE8-4869-96BD-343CF38308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ltados - Orden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N21" i="1" s="1"/>
  <c r="H26" i="1"/>
  <c r="G26" i="1"/>
  <c r="N20" i="1" s="1"/>
  <c r="H25" i="1"/>
  <c r="G25" i="1"/>
  <c r="N19" i="1" s="1"/>
  <c r="H24" i="1"/>
  <c r="G24" i="1"/>
  <c r="M21" i="1" s="1"/>
  <c r="H23" i="1"/>
  <c r="G23" i="1"/>
  <c r="M20" i="1" s="1"/>
  <c r="H22" i="1"/>
  <c r="G22" i="1"/>
  <c r="M19" i="1" s="1"/>
  <c r="H21" i="1"/>
  <c r="G21" i="1"/>
  <c r="L21" i="1" s="1"/>
  <c r="H20" i="1"/>
  <c r="G20" i="1"/>
  <c r="L20" i="1" s="1"/>
  <c r="H19" i="1"/>
  <c r="G19" i="1"/>
  <c r="L19" i="1" s="1"/>
</calcChain>
</file>

<file path=xl/sharedStrings.xml><?xml version="1.0" encoding="utf-8"?>
<sst xmlns="http://schemas.openxmlformats.org/spreadsheetml/2006/main" count="68" uniqueCount="53">
  <si>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</si>
  <si>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</si>
  <si>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</si>
  <si>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</si>
  <si>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1. Identificação e ambiente de execução</t>
  </si>
  <si>
    <t>Campo</t>
  </si>
  <si>
    <t>Informação</t>
  </si>
  <si>
    <t>Nome do aluno</t>
  </si>
  <si>
    <t>Caio dos Santos Cunha</t>
  </si>
  <si>
    <t>RA</t>
  </si>
  <si>
    <t>Linguagem de programação utilizada</t>
  </si>
  <si>
    <t>Python</t>
  </si>
  <si>
    <t>Sistema operacional</t>
  </si>
  <si>
    <t>Windows 11 Pro</t>
  </si>
  <si>
    <t>Processador</t>
  </si>
  <si>
    <t>i5-12600K</t>
  </si>
  <si>
    <t>Memória RAM</t>
  </si>
  <si>
    <t>16 GB</t>
  </si>
  <si>
    <t>Link do GitHub com os códigos implementados</t>
  </si>
  <si>
    <t>2. Resultados experimentais</t>
  </si>
  <si>
    <t>Algoritmo</t>
  </si>
  <si>
    <t>Complexidade no caso médio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</si>
  <si>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</si>
  <si>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</si>
  <si>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</si>
  <si>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</si>
  <si>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</si>
  <si>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</si>
  <si>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</si>
  <si>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Tamanho</t>
  </si>
  <si>
    <t>Insertion Sort</t>
  </si>
  <si>
    <t>Quick Sort</t>
  </si>
  <si>
    <t>Merge Sort</t>
  </si>
  <si>
    <t>O(n²) pior caso</t>
  </si>
  <si>
    <t>1.000</t>
  </si>
  <si>
    <t>10.000</t>
  </si>
  <si>
    <t>100.000</t>
  </si>
  <si>
    <t>O(n log n) medio</t>
  </si>
  <si>
    <t>O(n log n) sempre</t>
  </si>
  <si>
    <t>Observação: Preencha os tempos das três execuções em segundos. Para algoritmos que não finalizarem em até 5 minutos, registre N/C nas execuções.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</si>
  <si>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</si>
  <si>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</si>
  <si>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</si>
  <si>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</si>
  <si>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</si>
  <si>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Sim. O Insertion Sort apresentou tempos muito superiores aos demais conforme o tamanho do vetor cresceu, o que é coerente com sua complexidade O(n²). Para n = 1.000 o algoritmo termina em cerca de 13 ms, para n = 10.000 leva aproximadamente 1,32 s e para n = 100.000 leva cerca de 163,7 s, um crescimento de aproximadamente 100x a cada vez que n aumenta 10x, confirmando a relação quadrática. O Quick Sort e o Merge Sort apresentaram tempos muito menores (0,145 s e 0,177 s, respectivamente, para n = 100.000), crescendo de forma proporcional a n log n, tal como previsto pela teoria.</t>
  </si>
  <si>
    <t>A quantidade de trocas/movimentações acompanhou o crescimento do tempo de execução? Explique.</t>
  </si>
  <si>
    <t>Sim. O Insertion Sort realizou cerca de 25 milhões de movimentações para n = 10.000 e aproximadamente 2,495 bilhões para n = 100.000, crescimento proporcional a n². O Merge Sort realizou cerca de 134 mil e 1,67 milhão de movimentações, respectivamente, crescimento proporcional a n log n. O Quick Sort realizou aproximadamente 79.653 trocas para n = 10.000 e 1.040.057 para n = 100.000, também consistente com O(n log n) médio. A relação entre número de operações e tempo foi direta e coerente para todos os algoritmos: mais operações resultaram em maior tempo de execução.</t>
  </si>
  <si>
    <t>Qual algoritmo apresentou o melhor  e o pior desempenho nos testes realizados?</t>
  </si>
  <si>
    <t>O Merge Sort apresentou o melhor desempenho em termos de consistência: seus tempos são garantidamente O(n log n) independentemente da entrada e sem variação entre execuções, pois é determinístico. O Quick Sort também foi muito eficiente na prática, com tempos ligeiramente menores que o Merge Sort para n = 1.000 e n = 10.000, sendo ambos aproximadamente 1.130 vezes mais rápidos que o Insertion Sort para n = 100.000 (0,145 s vs 163,7 s). O Insertion Sort apresentou o pior desempenho, tornando-se completamente impraticável para entradas grandes.</t>
  </si>
  <si>
    <t>Algum algoritmo não concluiu a execução dentro do limite de 5 minutos? O que isso indica?</t>
  </si>
  <si>
    <t>Não, todos os algoritmos concluíram dentro do limite de 5 minutos para os tamanhos testados. O Insertion Sort para n = 100.000 levou em média 163,7 s (aproximadamente 2,7 minutos), dentro do limite mas já evidenciando a inviabilidade prática do algoritmo para entradas dessa magnitude. Isso demonstra que a diferença entre O(n²) e O(n log n) é crítica na prática: o Merge Sort processou 100.000 elementos em 0,177 s enquanto o Insertion Sort levou 163,7 s, uma diferença de aproximadamente 925 vezes, confirmando a importância da escolha do algoritmo conforme o tamanho da entrada.</t>
  </si>
  <si>
    <t>https://github.com/caiodscunha/Lista-X-Algoritmos-de-Ordenacao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</si>
</sst>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name val="Carlito"/>
    </font>
    <font>
      <sz val="11"/>
      <color rgb="FF1F2937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1F2937"/>
      <name val="Calibri"/>
    </font>
    <font>
      <b/>
      <sz val="11"/>
      <color rgb="FFFFFFFF"/>
      <name val="Calibri"/>
    </font>
    <font>
      <b/>
      <u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sz val="11"/>
      <color rgb="FFFF0000"/>
      <name val="Calibri"/>
      <family val="2"/>
    </font>
    <font>
      <i/>
      <sz val="11"/>
      <color rgb="FF1F2937"/>
      <name val="Calibri"/>
      <family val="2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</borders>
  <cellStyleXfs count="2">
    <xf numFmtId="0" fontId="0" fillId="0" borderId="1"/>
    <xf numFmtId="0" fontId="11" fillId="0" borderId="1" applyNumberFormat="0" applyFill="0" applyBorder="0" applyAlignment="0" applyProtection="0"/>
  </cellStyleXfs>
  <cellXfs count="35">
    <xf numFmtId="0" fontId="0" fillId="0" borderId="0" xfId="0" applyBorder="1"/>
    <xf numFmtId="0" fontId="1" fillId="0" borderId="0" xfId="0" applyFont="1" applyBorder="1" applyAlignment="1">
      <alignment wrapText="1"/>
    </xf>
    <xf numFmtId="0" fontId="1" fillId="7" borderId="0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3" fontId="1" fillId="7" borderId="0" xfId="0" applyNumberFormat="1" applyFont="1" applyFill="1" applyBorder="1" applyAlignment="1">
      <alignment horizontal="center" vertical="top" wrapText="1"/>
    </xf>
    <xf numFmtId="164" fontId="1" fillId="7" borderId="0" xfId="0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3" fontId="1" fillId="7" borderId="9" xfId="0" applyNumberFormat="1" applyFont="1" applyFill="1" applyBorder="1" applyAlignment="1">
      <alignment horizontal="center" vertical="top" wrapText="1"/>
    </xf>
    <xf numFmtId="164" fontId="1" fillId="7" borderId="9" xfId="0" applyNumberFormat="1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vertical="top" wrapText="1"/>
    </xf>
    <xf numFmtId="0" fontId="7" fillId="2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164" fontId="1" fillId="8" borderId="0" xfId="0" applyNumberFormat="1" applyFont="1" applyFill="1" applyBorder="1" applyAlignment="1">
      <alignment horizontal="center" vertical="center" wrapText="1"/>
    </xf>
    <xf numFmtId="164" fontId="1" fillId="8" borderId="9" xfId="0" applyNumberFormat="1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wrapText="1"/>
    </xf>
    <xf numFmtId="0" fontId="8" fillId="6" borderId="3" xfId="0" applyFont="1" applyFill="1" applyBorder="1" applyAlignment="1">
      <alignment vertical="top" wrapText="1"/>
    </xf>
    <xf numFmtId="0" fontId="2" fillId="2" borderId="1" xfId="0" applyFont="1" applyFill="1" applyAlignment="1">
      <alignment horizontal="center" vertical="center" wrapText="1"/>
    </xf>
    <xf numFmtId="0" fontId="0" fillId="0" borderId="0" xfId="0" applyBorder="1"/>
    <xf numFmtId="0" fontId="6" fillId="2" borderId="1" xfId="0" applyFont="1" applyFill="1" applyAlignment="1">
      <alignment horizontal="center" vertical="center" wrapText="1"/>
    </xf>
    <xf numFmtId="0" fontId="9" fillId="7" borderId="1" xfId="0" applyFont="1" applyFill="1" applyAlignment="1">
      <alignment vertical="top" wrapText="1"/>
    </xf>
    <xf numFmtId="0" fontId="3" fillId="4" borderId="1" xfId="0" applyFont="1" applyFill="1" applyAlignment="1">
      <alignment horizontal="left" vertical="center" wrapText="1"/>
    </xf>
    <xf numFmtId="0" fontId="9" fillId="0" borderId="7" xfId="0" applyFont="1" applyBorder="1" applyAlignment="1">
      <alignment horizontal="left" vertical="top" wrapText="1"/>
    </xf>
    <xf numFmtId="0" fontId="0" fillId="0" borderId="7" xfId="0" applyBorder="1"/>
    <xf numFmtId="0" fontId="4" fillId="5" borderId="11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6" xfId="0" applyBorder="1"/>
    <xf numFmtId="0" fontId="4" fillId="5" borderId="1" xfId="0" applyFont="1" applyFill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1" fillId="0" borderId="7" xfId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7"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3" formatCode="#,##0"/>
      <fill>
        <patternFill patternType="solid">
          <fgColor indexed="64"/>
          <bgColor rgb="FFFFFFFF"/>
        </patternFill>
      </fill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3" formatCode="#,##0"/>
      <fill>
        <patternFill patternType="solid">
          <fgColor indexed="64"/>
          <bgColor rgb="FFFFFFFF"/>
        </patternFill>
      </fill>
      <alignment horizontal="center"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pt-BR"/>
              <a:t>Comparação do Tempo Médio por Tamanho de Entrada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Insertion Sort</c:v>
          </c:tx>
          <c:spPr>
            <a:solidFill>
              <a:srgbClr val="C93C3C"/>
            </a:solidFill>
            <a:ln>
              <a:solidFill>
                <a:srgbClr val="C93C3C"/>
              </a:solidFill>
            </a:ln>
          </c:spPr>
          <c:invertIfNegative val="0"/>
          <c:cat>
            <c:strRef>
              <c:f>'Resultados - Ordenação'!$K$19:$K$21</c:f>
              <c:strCache>
                <c:ptCount val="3"/>
                <c:pt idx="0">
                  <c:v>1.000</c:v>
                </c:pt>
                <c:pt idx="1">
                  <c:v>10.000</c:v>
                </c:pt>
                <c:pt idx="2">
                  <c:v>100.000</c:v>
                </c:pt>
              </c:strCache>
            </c:strRef>
          </c:cat>
          <c:val>
            <c:numRef>
              <c:f>'Resultados - Ordenação'!$G$19:$G$21</c:f>
              <c:numCache>
                <c:formatCode>0.000</c:formatCode>
                <c:ptCount val="3"/>
                <c:pt idx="0">
                  <c:v>1.3227000000000001E-2</c:v>
                </c:pt>
                <c:pt idx="1">
                  <c:v>1.3228846666666667</c:v>
                </c:pt>
                <c:pt idx="2">
                  <c:v>163.69228999999999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A-46B9-ABC2-5E1862B3DD9D}"/>
            </c:ext>
          </c:extLst>
        </c:ser>
        <c:ser>
          <c:idx val="1"/>
          <c:order val="1"/>
          <c:tx>
            <c:v>Quick Sort</c:v>
          </c:tx>
          <c:spPr>
            <a:solidFill>
              <a:srgbClr val="3478C3"/>
            </a:solidFill>
            <a:ln>
              <a:solidFill>
                <a:srgbClr val="3478C3"/>
              </a:solidFill>
            </a:ln>
          </c:spPr>
          <c:invertIfNegative val="0"/>
          <c:cat>
            <c:strRef>
              <c:f>'Resultados - Ordenação'!$K$19:$K$21</c:f>
              <c:strCache>
                <c:ptCount val="3"/>
                <c:pt idx="0">
                  <c:v>1.000</c:v>
                </c:pt>
                <c:pt idx="1">
                  <c:v>10.000</c:v>
                </c:pt>
                <c:pt idx="2">
                  <c:v>100.000</c:v>
                </c:pt>
              </c:strCache>
            </c:strRef>
          </c:cat>
          <c:val>
            <c:numRef>
              <c:f>'Resultados - Ordenação'!$G$22:$G$24</c:f>
              <c:numCache>
                <c:formatCode>0.000</c:formatCode>
                <c:ptCount val="3"/>
                <c:pt idx="0">
                  <c:v>8.6800000000000017E-4</c:v>
                </c:pt>
                <c:pt idx="1">
                  <c:v>1.1584333333333334E-2</c:v>
                </c:pt>
                <c:pt idx="2">
                  <c:v>0.14492666666666668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0A-46B9-ABC2-5E1862B3DD9D}"/>
            </c:ext>
          </c:extLst>
        </c:ser>
        <c:ser>
          <c:idx val="2"/>
          <c:order val="2"/>
          <c:tx>
            <c:v>Merge Sort</c:v>
          </c:tx>
          <c:spPr>
            <a:solidFill>
              <a:srgbClr val="38A05A"/>
            </a:solidFill>
            <a:ln>
              <a:solidFill>
                <a:srgbClr val="38A05A"/>
              </a:solidFill>
            </a:ln>
          </c:spPr>
          <c:invertIfNegative val="0"/>
          <c:cat>
            <c:strRef>
              <c:f>'Resultados - Ordenação'!$K$19:$K$21</c:f>
              <c:strCache>
                <c:ptCount val="3"/>
                <c:pt idx="0">
                  <c:v>1.000</c:v>
                </c:pt>
                <c:pt idx="1">
                  <c:v>10.000</c:v>
                </c:pt>
                <c:pt idx="2">
                  <c:v>100.000</c:v>
                </c:pt>
              </c:strCache>
            </c:strRef>
          </c:cat>
          <c:val>
            <c:numRef>
              <c:f>'Resultados - Ordenação'!$G$25:$G$27</c:f>
              <c:numCache>
                <c:formatCode>0.000</c:formatCode>
                <c:ptCount val="3"/>
                <c:pt idx="0">
                  <c:v>9.9500000000000001E-4</c:v>
                </c:pt>
                <c:pt idx="1">
                  <c:v>1.3969000000000001E-2</c:v>
                </c:pt>
                <c:pt idx="2">
                  <c:v>0.17675033333333334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0A-46B9-ABC2-5E1862B3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619551"/>
        <c:axId val="597633951"/>
      </c:barChart>
      <c:catAx>
        <c:axId val="597619551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900"/>
                </a:pPr>
                <a:r>
                  <a:rPr lang="pt-BR"/>
                  <a:t>Tamanho do vetor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7633951"/>
        <c:crosses val="autoZero"/>
        <c:auto val="1"/>
        <c:lblAlgn val="ctr"/>
        <c:lblOffset val="100"/>
        <c:noMultiLvlLbl val="0"/>
      </c:catAx>
      <c:valAx>
        <c:axId val="597633951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pt-BR"/>
                  <a:t>Tempo médio (s)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97619551"/>
        <c:crosses val="autoZero"/>
        <c:crossBetween val="between"/>
      </c:valAx>
      <c:spPr>
        <a:solidFill>
          <a:srgbClr val="FAFAFA"/>
        </a:solidFill>
      </c:spPr>
    </c:plotArea>
    <c:legend>
      <c:legendPos val="b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pt-BR"/>
              <a:t>Crescimento do Tempo Médio por Algoritmo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Insertion Sort</c:v>
          </c:tx>
          <c:spPr>
            <a:ln w="31750">
              <a:solidFill>
                <a:srgbClr val="C93C3C"/>
              </a:solidFill>
            </a:ln>
          </c:spPr>
          <c:marker>
            <c:symbol val="circle"/>
            <c:size val="8"/>
            <c:spPr>
              <a:solidFill>
                <a:srgbClr val="C93C3C"/>
              </a:solidFill>
              <a:ln w="31750">
                <a:solidFill>
                  <a:srgbClr val="C93C3C"/>
                </a:solidFill>
                <a:prstDash val="solid"/>
              </a:ln>
            </c:spPr>
          </c:marker>
          <c:val>
            <c:numRef>
              <c:f>'Resultados - Ordenação'!$G$19:$G$21</c:f>
              <c:numCache>
                <c:formatCode>0.000</c:formatCode>
                <c:ptCount val="3"/>
                <c:pt idx="0">
                  <c:v>1.3227000000000001E-2</c:v>
                </c:pt>
                <c:pt idx="1">
                  <c:v>1.3228846666666667</c:v>
                </c:pt>
                <c:pt idx="2">
                  <c:v>163.69228999999999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'Resultados - Ordenação'!$K$19:$K$21</c15:sqref>
                        </c15:formulaRef>
                      </c:ext>
                    </c:extLst>
                    <c:strCache>
                      <c:ptCount val="3"/>
                      <c:pt idx="0">
                        <c:v>1.000</c:v>
                      </c:pt>
                      <c:pt idx="1">
                        <c:v>10.000</c:v>
                      </c:pt>
                      <c:pt idx="2">
                        <c:v>100.000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5860-42A3-94B3-007FEDB6B7C9}"/>
            </c:ext>
          </c:extLst>
        </c:ser>
        <c:ser>
          <c:idx val="1"/>
          <c:order val="1"/>
          <c:tx>
            <c:v>Quick Sort</c:v>
          </c:tx>
          <c:spPr>
            <a:ln w="31750">
              <a:solidFill>
                <a:srgbClr val="3478C3"/>
              </a:solidFill>
            </a:ln>
          </c:spPr>
          <c:marker>
            <c:symbol val="square"/>
            <c:size val="8"/>
            <c:spPr>
              <a:solidFill>
                <a:srgbClr val="3478C3"/>
              </a:solidFill>
              <a:ln w="31750">
                <a:solidFill>
                  <a:srgbClr val="3478C3"/>
                </a:solidFill>
                <a:prstDash val="solid"/>
              </a:ln>
            </c:spPr>
          </c:marker>
          <c:val>
            <c:numRef>
              <c:f>'Resultados - Ordenação'!$G$22:$G$24</c:f>
              <c:numCache>
                <c:formatCode>0.000</c:formatCode>
                <c:ptCount val="3"/>
                <c:pt idx="0">
                  <c:v>8.6800000000000017E-4</c:v>
                </c:pt>
                <c:pt idx="1">
                  <c:v>1.1584333333333334E-2</c:v>
                </c:pt>
                <c:pt idx="2">
                  <c:v>0.14492666666666668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'Resultados - Ordenação'!$K$19:$K$21</c15:sqref>
                        </c15:formulaRef>
                      </c:ext>
                    </c:extLst>
                    <c:strCache>
                      <c:ptCount val="3"/>
                      <c:pt idx="0">
                        <c:v>1.000</c:v>
                      </c:pt>
                      <c:pt idx="1">
                        <c:v>10.000</c:v>
                      </c:pt>
                      <c:pt idx="2">
                        <c:v>100.000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860-42A3-94B3-007FEDB6B7C9}"/>
            </c:ext>
          </c:extLst>
        </c:ser>
        <c:ser>
          <c:idx val="2"/>
          <c:order val="2"/>
          <c:tx>
            <c:v>Merge Sort</c:v>
          </c:tx>
          <c:spPr>
            <a:ln w="31750">
              <a:solidFill>
                <a:srgbClr val="38A05A"/>
              </a:solidFill>
            </a:ln>
          </c:spPr>
          <c:marker>
            <c:symbol val="diamond"/>
            <c:size val="8"/>
            <c:spPr>
              <a:solidFill>
                <a:srgbClr val="38A05A"/>
              </a:solidFill>
              <a:ln w="31750">
                <a:solidFill>
                  <a:srgbClr val="38A05A"/>
                </a:solidFill>
                <a:prstDash val="solid"/>
              </a:ln>
            </c:spPr>
          </c:marker>
          <c:val>
            <c:numRef>
              <c:f>'Resultados - Ordenação'!$G$25:$G$27</c:f>
              <c:numCache>
                <c:formatCode>0.000</c:formatCode>
                <c:ptCount val="3"/>
                <c:pt idx="0">
                  <c:v>9.9500000000000001E-4</c:v>
                </c:pt>
                <c:pt idx="1">
                  <c:v>1.3969000000000001E-2</c:v>
                </c:pt>
                <c:pt idx="2">
                  <c:v>0.17675033333333334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'Resultados - Ordenação'!$K$19:$K$21</c15:sqref>
                        </c15:formulaRef>
                      </c:ext>
                    </c:extLst>
                    <c:strCache>
                      <c:ptCount val="3"/>
                      <c:pt idx="0">
                        <c:v>1.000</c:v>
                      </c:pt>
                      <c:pt idx="1">
                        <c:v>10.000</c:v>
                      </c:pt>
                      <c:pt idx="2">
                        <c:v>100.000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5860-42A3-94B3-007FEDB6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622911"/>
        <c:axId val="597629631"/>
      </c:lineChart>
      <c:catAx>
        <c:axId val="597622911"/>
        <c:scaling>
          <c:orientation val="minMax"/>
        </c:scaling>
        <c:delete val="1"/>
        <c:axPos val="b"/>
        <c:majorGridlines>
          <c:spPr>
            <a:ln>
              <a:solidFill>
                <a:srgbClr val="D2D2D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pt-BR"/>
                  <a:t>Tamanho do vetor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97629631"/>
        <c:crosses val="autoZero"/>
        <c:auto val="1"/>
        <c:lblAlgn val="ctr"/>
        <c:lblOffset val="100"/>
        <c:noMultiLvlLbl val="0"/>
      </c:catAx>
      <c:valAx>
        <c:axId val="597629631"/>
        <c:scaling>
          <c:logBase val="10"/>
          <c:orientation val="minMax"/>
        </c:scaling>
        <c:delete val="0"/>
        <c:axPos val="l"/>
        <c:majorGridlines>
          <c:spPr>
            <a:ln>
              <a:solidFill>
                <a:srgbClr val="D2D2D2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pt-BR"/>
                  <a:t>Tempo médio (s)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97622911"/>
        <c:crosses val="autoZero"/>
        <c:crossBetween val="between"/>
      </c:valAx>
      <c:spPr>
        <a:solidFill>
          <a:srgbClr val="FAFAFA"/>
        </a:solidFill>
      </c:spPr>
    </c:plotArea>
    <c:legend>
      <c:legendPos val="b"/>
      <c:overlay val="0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389281</xdr:colOff>
      <xdr:row>31</xdr:row>
      <xdr:rowOff>190499</xdr:rowOff>
    </xdr:from>
    <xdr:to>
      <xdr:col>7</xdr:col>
      <xdr:colOff>1051890</xdr:colOff>
      <xdr:row>46</xdr:row>
      <xdr:rowOff>8282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ECBC3B0-19B5-0EAB-C0BF-374805A96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944217</xdr:colOff>
      <xdr:row>32</xdr:row>
      <xdr:rowOff>8283</xdr:rowOff>
    </xdr:from>
    <xdr:to>
      <xdr:col>3</xdr:col>
      <xdr:colOff>140802</xdr:colOff>
      <xdr:row>46</xdr:row>
      <xdr:rowOff>8283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09E50A7-EF74-12AB-C6C7-A882C584B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>
  <tableColumns count="9">
    <tableColumn id="1" xr3:uid="{00000000-0010-0000-0000-000001000000}" name="Algoritmo"/>
    <tableColumn id="2" xr3:uid="{00000000-0010-0000-0000-000002000000}" name="Complexidade no caso médio"/>
    <tableColumn id="5" xr3:uid="{00000000-0010-0000-0000-000005000000}" name="Tamanho do vetor" dataDxfId="6"/>
    <tableColumn id="6" xr3:uid="{00000000-0010-0000-0000-000006000000}" name="Execução 1 (s)" dataDxfId="5"/>
    <tableColumn id="7" xr3:uid="{00000000-0010-0000-0000-000007000000}" name="Execução 2 (s)" dataDxfId="4"/>
    <tableColumn id="8" xr3:uid="{00000000-0010-0000-0000-000008000000}" name="Execução 3 (s)" dataDxfId="3"/>
    <tableColumn id="9" xr3:uid="{00000000-0010-0000-0000-000009000000}" name="Tempo médio (s)" dataDxfId="2">
      <calculatedColumnFormula>IF(COUNT(D19:F19)=0,"",AVERAGE(D19:F19))</calculatedColumnFormula>
    </tableColumn>
    <tableColumn id="10" xr3:uid="{00000000-0010-0000-0000-00000A000000}" name="Desvio padrão (s)" dataDxfId="1">
      <calculatedColumnFormula>IF(COUNT(D19:F19)&lt;2,"",_xlfn.STDEV.S(D19:F19))</calculatedColumnFormula>
    </tableColumn>
    <tableColumn id="12" xr3:uid="{00000000-0010-0000-0000-00000C000000}" name="Trocas ou moviment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caiodscunha/Lista-X-Algoritmos-de-Ordenac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6"/>
  <sheetViews>
    <sheetView tabSelected="1" zoomScale="115" zoomScaleNormal="115" workbookViewId="0">
      <selection activeCell="B15" sqref="B15:I15"/>
    </sheetView>
  </sheetViews>
  <sheetFormatPr defaultRowHeight="14.25"/>
  <cols>
    <col min="1" max="1" width="28" customWidth="1"/>
    <col min="2" max="2" width="22" customWidth="1"/>
    <col min="3" max="3" width="24" customWidth="1"/>
    <col min="4" max="5" width="16" customWidth="1"/>
    <col min="6" max="8" width="14" customWidth="1"/>
    <col min="9" max="9" width="18" customWidth="1"/>
  </cols>
  <sheetData>
    <row r="1" spans="1:9" ht="21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1" customHeight="1">
      <c r="A2" s="21" t="s">
        <v>1</v>
      </c>
      <c r="B2" s="22"/>
      <c r="C2" s="22"/>
      <c r="D2" s="22"/>
      <c r="E2" s="22"/>
      <c r="F2" s="22"/>
      <c r="G2" s="22"/>
      <c r="H2" s="22"/>
      <c r="I2" s="22"/>
    </row>
    <row r="3" spans="1:9" ht="21" customHeight="1">
      <c r="A3" s="21" t="s">
        <v>2</v>
      </c>
      <c r="B3" s="22"/>
      <c r="C3" s="22"/>
      <c r="D3" s="22"/>
      <c r="E3" s="22"/>
      <c r="F3" s="22"/>
      <c r="G3" s="22"/>
      <c r="H3" s="22"/>
      <c r="I3" s="22"/>
    </row>
    <row r="4" spans="1:9" ht="21" customHeight="1">
      <c r="A4" s="23" t="s">
        <v>3</v>
      </c>
      <c r="B4" s="22"/>
      <c r="C4" s="22"/>
      <c r="D4" s="22"/>
      <c r="E4" s="22"/>
      <c r="F4" s="22"/>
      <c r="G4" s="22"/>
      <c r="H4" s="22"/>
      <c r="I4" s="22"/>
    </row>
    <row r="5" spans="1:9" ht="30" customHeight="1">
      <c r="A5" s="22"/>
      <c r="B5" s="22"/>
      <c r="C5" s="22"/>
      <c r="D5" s="22"/>
      <c r="E5" s="22"/>
      <c r="F5" s="22"/>
      <c r="G5" s="22"/>
      <c r="H5" s="22"/>
      <c r="I5" s="22"/>
    </row>
    <row r="6" spans="1:9" ht="15" customHeight="1">
      <c r="A6" s="1"/>
      <c r="B6" s="1"/>
      <c r="C6" s="1"/>
      <c r="D6" s="1"/>
      <c r="E6" s="1"/>
      <c r="F6" s="1"/>
      <c r="G6" s="1"/>
      <c r="H6" s="1"/>
      <c r="I6" s="1"/>
    </row>
    <row r="7" spans="1:9" ht="24" customHeight="1">
      <c r="A7" s="25" t="s">
        <v>4</v>
      </c>
      <c r="B7" s="22"/>
      <c r="C7" s="22"/>
      <c r="D7" s="22"/>
      <c r="E7" s="22"/>
      <c r="F7" s="22"/>
      <c r="G7" s="22"/>
      <c r="H7" s="22"/>
      <c r="I7" s="22"/>
    </row>
    <row r="8" spans="1:9" ht="15" customHeight="1">
      <c r="A8" s="3" t="s">
        <v>5</v>
      </c>
      <c r="B8" s="31" t="s">
        <v>6</v>
      </c>
      <c r="C8" s="22"/>
      <c r="D8" s="22"/>
      <c r="E8" s="22"/>
      <c r="F8" s="22"/>
      <c r="G8" s="22"/>
      <c r="H8" s="22"/>
      <c r="I8" s="22"/>
    </row>
    <row r="9" spans="1:9" ht="15" customHeight="1">
      <c r="A9" s="16" t="s">
        <v>7</v>
      </c>
      <c r="B9" s="26" t="s">
        <v>8</v>
      </c>
      <c r="C9" s="22"/>
      <c r="D9" s="22"/>
      <c r="E9" s="22"/>
      <c r="F9" s="22"/>
      <c r="G9" s="22"/>
      <c r="H9" s="22"/>
      <c r="I9" s="27"/>
    </row>
    <row r="10" spans="1:9" ht="15" customHeight="1">
      <c r="A10" s="16" t="s">
        <v>9</v>
      </c>
      <c r="B10" s="26">
        <v>24005297</v>
      </c>
      <c r="C10" s="22"/>
      <c r="D10" s="22"/>
      <c r="E10" s="22"/>
      <c r="F10" s="22"/>
      <c r="G10" s="22"/>
      <c r="H10" s="22"/>
      <c r="I10" s="27"/>
    </row>
    <row r="11" spans="1:9" ht="30" customHeight="1">
      <c r="A11" s="16" t="s">
        <v>10</v>
      </c>
      <c r="B11" s="26" t="s">
        <v>11</v>
      </c>
      <c r="C11" s="22"/>
      <c r="D11" s="22"/>
      <c r="E11" s="22"/>
      <c r="F11" s="22"/>
      <c r="G11" s="22"/>
      <c r="H11" s="22"/>
      <c r="I11" s="27"/>
    </row>
    <row r="12" spans="1:9" ht="15" customHeight="1">
      <c r="A12" s="15" t="s">
        <v>12</v>
      </c>
      <c r="B12" s="26" t="s">
        <v>13</v>
      </c>
      <c r="C12" s="22"/>
      <c r="D12" s="22"/>
      <c r="E12" s="22"/>
      <c r="F12" s="22"/>
      <c r="G12" s="22"/>
      <c r="H12" s="22"/>
      <c r="I12" s="27"/>
    </row>
    <row r="13" spans="1:9" ht="15" customHeight="1">
      <c r="A13" s="15" t="s">
        <v>14</v>
      </c>
      <c r="B13" s="26" t="s">
        <v>15</v>
      </c>
      <c r="C13" s="22"/>
      <c r="D13" s="22"/>
      <c r="E13" s="22"/>
      <c r="F13" s="22"/>
      <c r="G13" s="22"/>
      <c r="H13" s="22"/>
      <c r="I13" s="27"/>
    </row>
    <row r="14" spans="1:9" ht="15" customHeight="1">
      <c r="A14" s="15" t="s">
        <v>16</v>
      </c>
      <c r="B14" s="26" t="s">
        <v>17</v>
      </c>
      <c r="C14" s="22"/>
      <c r="D14" s="22"/>
      <c r="E14" s="22"/>
      <c r="F14" s="22"/>
      <c r="G14" s="22"/>
      <c r="H14" s="22"/>
      <c r="I14" s="27"/>
    </row>
    <row r="15" spans="1:9" ht="30" customHeight="1">
      <c r="A15" s="15" t="s">
        <v>18</v>
      </c>
      <c r="B15" s="34" t="s">
        <v>52</v>
      </c>
      <c r="C15" s="22"/>
      <c r="D15" s="22"/>
      <c r="E15" s="22"/>
      <c r="F15" s="22"/>
      <c r="G15" s="22"/>
      <c r="H15" s="22"/>
      <c r="I15" s="27"/>
    </row>
    <row r="16" spans="1:9" ht="15" customHeight="1">
      <c r="A16" s="1"/>
      <c r="B16" s="1"/>
      <c r="C16" s="1"/>
      <c r="D16" s="1"/>
      <c r="E16" s="1"/>
      <c r="F16" s="1"/>
      <c r="G16" s="1"/>
      <c r="H16" s="1"/>
      <c r="I16" s="1"/>
    </row>
    <row r="17" spans="1:14" ht="24" customHeight="1">
      <c r="A17" s="25" t="s">
        <v>19</v>
      </c>
      <c r="B17" s="22"/>
      <c r="C17" s="22"/>
      <c r="D17" s="22"/>
      <c r="E17" s="22"/>
      <c r="F17" s="22"/>
      <c r="G17" s="22"/>
      <c r="H17" s="22"/>
      <c r="I17" s="22"/>
    </row>
    <row r="18" spans="1:14" ht="42" customHeight="1">
      <c r="A18" s="6" t="s">
        <v>20</v>
      </c>
      <c r="B18" s="14" t="s">
        <v>21</v>
      </c>
      <c r="C18" s="7" t="s">
        <v>22</v>
      </c>
      <c r="D18" s="7" t="s">
        <v>23</v>
      </c>
      <c r="E18" s="7" t="s">
        <v>24</v>
      </c>
      <c r="F18" s="7" t="s">
        <v>25</v>
      </c>
      <c r="G18" s="7" t="s">
        <v>26</v>
      </c>
      <c r="H18" s="7" t="s">
        <v>27</v>
      </c>
      <c r="I18" s="7" t="s">
        <v>28</v>
      </c>
      <c r="K18" t="s">
        <v>29</v>
      </c>
      <c r="L18" t="s">
        <v>30</v>
      </c>
      <c r="M18" t="s">
        <v>31</v>
      </c>
      <c r="N18" t="s">
        <v>32</v>
      </c>
    </row>
    <row r="19" spans="1:14" ht="38.1" customHeight="1">
      <c r="A19" s="8" t="s">
        <v>30</v>
      </c>
      <c r="B19" s="2" t="s">
        <v>33</v>
      </c>
      <c r="C19" s="4">
        <v>1000</v>
      </c>
      <c r="D19" s="5">
        <v>1.3927E-2</v>
      </c>
      <c r="E19" s="5">
        <v>1.3008E-2</v>
      </c>
      <c r="F19" s="5">
        <v>1.2746E-2</v>
      </c>
      <c r="G19" s="17">
        <f t="shared" ref="G19:G27" si="0">IF(COUNT(D19:F19)=0,"",AVERAGE(D19:F19))</f>
        <v>1.3227000000000001E-2</v>
      </c>
      <c r="H19" s="17">
        <f t="shared" ref="H19:H27" si="1">IF(COUNT(D19:F19)&lt;2,"",_xlfn.STDEV.S(D19:F19))</f>
        <v>6.2021044815449523E-4</v>
      </c>
      <c r="I19" s="2">
        <v>244354</v>
      </c>
      <c r="K19" t="s">
        <v>34</v>
      </c>
      <c r="L19">
        <f>G19</f>
        <v>1.3227000000000001E-2</v>
      </c>
      <c r="M19">
        <f>G22</f>
        <v>8.6800000000000017E-4</v>
      </c>
      <c r="N19">
        <f>G25</f>
        <v>9.9500000000000001E-4</v>
      </c>
    </row>
    <row r="20" spans="1:14" ht="38.1" customHeight="1">
      <c r="A20" s="8" t="s">
        <v>30</v>
      </c>
      <c r="B20" s="2" t="s">
        <v>33</v>
      </c>
      <c r="C20" s="4">
        <v>10000</v>
      </c>
      <c r="D20" s="5">
        <v>1.3551800000000001</v>
      </c>
      <c r="E20" s="5">
        <v>1.31758</v>
      </c>
      <c r="F20" s="5">
        <v>1.2958940000000001</v>
      </c>
      <c r="G20" s="17">
        <f t="shared" si="0"/>
        <v>1.3228846666666667</v>
      </c>
      <c r="H20" s="17">
        <f t="shared" si="1"/>
        <v>2.9996867592022546E-2</v>
      </c>
      <c r="I20" s="2">
        <v>25031705</v>
      </c>
      <c r="K20" t="s">
        <v>35</v>
      </c>
      <c r="L20">
        <f>G20</f>
        <v>1.3228846666666667</v>
      </c>
      <c r="M20">
        <f>G23</f>
        <v>1.1584333333333334E-2</v>
      </c>
      <c r="N20">
        <f>G26</f>
        <v>1.3969000000000001E-2</v>
      </c>
    </row>
    <row r="21" spans="1:14" ht="38.1" customHeight="1">
      <c r="A21" s="8" t="s">
        <v>30</v>
      </c>
      <c r="B21" s="2" t="s">
        <v>33</v>
      </c>
      <c r="C21" s="4">
        <v>100000</v>
      </c>
      <c r="D21" s="5">
        <v>164.126409</v>
      </c>
      <c r="E21" s="5">
        <v>164.05394100000001</v>
      </c>
      <c r="F21" s="5">
        <v>162.89652000000001</v>
      </c>
      <c r="G21" s="17">
        <f t="shared" si="0"/>
        <v>163.69228999999999</v>
      </c>
      <c r="H21" s="17">
        <f t="shared" si="1"/>
        <v>0.69010892070092356</v>
      </c>
      <c r="I21" s="2">
        <v>2495060647</v>
      </c>
      <c r="K21" t="s">
        <v>36</v>
      </c>
      <c r="L21">
        <f>G21</f>
        <v>163.69228999999999</v>
      </c>
      <c r="M21">
        <f>G24</f>
        <v>0.14492666666666668</v>
      </c>
      <c r="N21">
        <f>G27</f>
        <v>0.17675033333333334</v>
      </c>
    </row>
    <row r="22" spans="1:14" ht="38.1" customHeight="1">
      <c r="A22" s="8" t="s">
        <v>31</v>
      </c>
      <c r="B22" s="2" t="s">
        <v>37</v>
      </c>
      <c r="C22" s="4">
        <v>1000</v>
      </c>
      <c r="D22" s="5">
        <v>8.1400000000000005E-4</v>
      </c>
      <c r="E22" s="5">
        <v>7.6199999999999998E-4</v>
      </c>
      <c r="F22" s="5">
        <v>1.0280000000000001E-3</v>
      </c>
      <c r="G22" s="17">
        <f t="shared" si="0"/>
        <v>8.6800000000000017E-4</v>
      </c>
      <c r="H22" s="17">
        <f t="shared" si="1"/>
        <v>1.4098226838861689E-4</v>
      </c>
      <c r="I22" s="2">
        <v>5260</v>
      </c>
    </row>
    <row r="23" spans="1:14" ht="38.1" customHeight="1">
      <c r="A23" s="8" t="s">
        <v>31</v>
      </c>
      <c r="B23" s="2" t="s">
        <v>37</v>
      </c>
      <c r="C23" s="4">
        <v>10000</v>
      </c>
      <c r="D23" s="5">
        <v>1.0616E-2</v>
      </c>
      <c r="E23" s="5">
        <v>1.1979999999999999E-2</v>
      </c>
      <c r="F23" s="5">
        <v>1.2156999999999999E-2</v>
      </c>
      <c r="G23" s="17">
        <f t="shared" si="0"/>
        <v>1.1584333333333334E-2</v>
      </c>
      <c r="H23" s="17">
        <f t="shared" si="1"/>
        <v>8.4325816529300936E-4</v>
      </c>
      <c r="I23" s="2">
        <v>79653</v>
      </c>
    </row>
    <row r="24" spans="1:14" ht="38.1" customHeight="1">
      <c r="A24" s="8" t="s">
        <v>31</v>
      </c>
      <c r="B24" s="2" t="s">
        <v>37</v>
      </c>
      <c r="C24" s="4">
        <v>100000</v>
      </c>
      <c r="D24" s="5">
        <v>0.13380700000000001</v>
      </c>
      <c r="E24" s="5">
        <v>0.15648400000000001</v>
      </c>
      <c r="F24" s="5">
        <v>0.14448900000000001</v>
      </c>
      <c r="G24" s="17">
        <f t="shared" si="0"/>
        <v>0.14492666666666668</v>
      </c>
      <c r="H24" s="17">
        <f t="shared" si="1"/>
        <v>1.1344833464327863E-2</v>
      </c>
      <c r="I24" s="2">
        <v>1040057</v>
      </c>
    </row>
    <row r="25" spans="1:14" ht="38.1" customHeight="1">
      <c r="A25" s="8" t="s">
        <v>32</v>
      </c>
      <c r="B25" s="2" t="s">
        <v>38</v>
      </c>
      <c r="C25" s="4">
        <v>1000</v>
      </c>
      <c r="D25" s="5">
        <v>1.016E-3</v>
      </c>
      <c r="E25" s="5">
        <v>9.8999999999999999E-4</v>
      </c>
      <c r="F25" s="5">
        <v>9.7900000000000005E-4</v>
      </c>
      <c r="G25" s="17">
        <f t="shared" si="0"/>
        <v>9.9500000000000001E-4</v>
      </c>
      <c r="H25" s="17">
        <f t="shared" si="1"/>
        <v>1.8999999999999964E-5</v>
      </c>
      <c r="I25" s="2">
        <v>9976</v>
      </c>
    </row>
    <row r="26" spans="1:14" ht="38.1" customHeight="1">
      <c r="A26" s="8" t="s">
        <v>32</v>
      </c>
      <c r="B26" s="2" t="s">
        <v>38</v>
      </c>
      <c r="C26" s="4">
        <v>10000</v>
      </c>
      <c r="D26" s="5">
        <v>1.3671000000000001E-2</v>
      </c>
      <c r="E26" s="5">
        <v>1.4376E-2</v>
      </c>
      <c r="F26" s="5">
        <v>1.3860000000000001E-2</v>
      </c>
      <c r="G26" s="17">
        <f t="shared" si="0"/>
        <v>1.3969000000000001E-2</v>
      </c>
      <c r="H26" s="17">
        <f t="shared" si="1"/>
        <v>3.649205392958851E-4</v>
      </c>
      <c r="I26" s="2">
        <v>133616</v>
      </c>
    </row>
    <row r="27" spans="1:14" ht="38.1" customHeight="1">
      <c r="A27" s="9" t="s">
        <v>32</v>
      </c>
      <c r="B27" s="10" t="s">
        <v>38</v>
      </c>
      <c r="C27" s="11">
        <v>100000</v>
      </c>
      <c r="D27" s="12">
        <v>0.177843</v>
      </c>
      <c r="E27" s="12">
        <v>0.175867</v>
      </c>
      <c r="F27" s="12">
        <v>0.176541</v>
      </c>
      <c r="G27" s="17">
        <f t="shared" si="0"/>
        <v>0.17675033333333334</v>
      </c>
      <c r="H27" s="18">
        <f t="shared" si="1"/>
        <v>1.0044945661044353E-3</v>
      </c>
      <c r="I27" s="2">
        <v>1668928</v>
      </c>
    </row>
    <row r="28" spans="1:14" ht="15" customHeight="1">
      <c r="A28" s="1"/>
      <c r="B28" s="1"/>
      <c r="C28" s="1"/>
      <c r="D28" s="1"/>
      <c r="E28" s="1"/>
      <c r="F28" s="1"/>
      <c r="G28" s="1"/>
      <c r="H28" s="1"/>
      <c r="I28" s="1"/>
    </row>
    <row r="29" spans="1:14" ht="36" customHeight="1">
      <c r="A29" s="32" t="s">
        <v>39</v>
      </c>
      <c r="B29" s="29"/>
      <c r="C29" s="29"/>
      <c r="D29" s="29"/>
      <c r="E29" s="29"/>
      <c r="F29" s="29"/>
      <c r="G29" s="29"/>
      <c r="H29" s="29"/>
      <c r="I29" s="29"/>
    </row>
    <row r="30" spans="1:14" ht="15" customHeight="1">
      <c r="A30" s="1"/>
      <c r="B30" s="1"/>
      <c r="C30" s="1"/>
      <c r="D30" s="1"/>
      <c r="E30" s="1"/>
      <c r="F30" s="1"/>
      <c r="G30" s="1"/>
      <c r="H30" s="1"/>
      <c r="I30" s="1"/>
    </row>
    <row r="31" spans="1:14" ht="24" customHeight="1">
      <c r="A31" s="25" t="s">
        <v>40</v>
      </c>
      <c r="B31" s="22"/>
      <c r="C31" s="22"/>
      <c r="D31" s="22"/>
      <c r="E31" s="22"/>
      <c r="F31" s="22"/>
      <c r="G31" s="22"/>
      <c r="H31" s="22"/>
      <c r="I31" s="22"/>
    </row>
    <row r="32" spans="1:14" ht="15" customHeight="1">
      <c r="A32" s="28"/>
      <c r="B32" s="29"/>
      <c r="C32" s="29"/>
      <c r="D32" s="29"/>
      <c r="E32" s="29"/>
      <c r="F32" s="29"/>
      <c r="G32" s="29"/>
      <c r="H32" s="29"/>
      <c r="I32" s="30"/>
    </row>
    <row r="33" spans="1:9" ht="1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spans="1:9" ht="15" customHeight="1">
      <c r="A34" s="19"/>
      <c r="B34" s="19"/>
      <c r="C34" s="19"/>
      <c r="D34" s="19"/>
      <c r="E34" s="19"/>
      <c r="F34" s="19"/>
      <c r="G34" s="19"/>
      <c r="H34" s="19"/>
      <c r="I34" s="19"/>
    </row>
    <row r="35" spans="1:9" ht="15" customHeight="1">
      <c r="A35" s="19"/>
      <c r="B35" s="19"/>
      <c r="C35" s="19"/>
      <c r="D35" s="19"/>
      <c r="E35" s="19"/>
      <c r="F35" s="19"/>
      <c r="G35" s="19"/>
      <c r="H35" s="19"/>
      <c r="I35" s="19"/>
    </row>
    <row r="36" spans="1:9" ht="15" customHeight="1">
      <c r="A36" s="19"/>
      <c r="B36" s="19"/>
      <c r="C36" s="19"/>
      <c r="D36" s="19"/>
      <c r="E36" s="19"/>
      <c r="F36" s="19"/>
      <c r="G36" s="19"/>
      <c r="H36" s="19"/>
      <c r="I36" s="19"/>
    </row>
    <row r="37" spans="1:9" ht="15" customHeight="1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5" customHeight="1">
      <c r="A38" s="19"/>
      <c r="B38" s="19"/>
      <c r="C38" s="19"/>
      <c r="D38" s="19"/>
      <c r="E38" s="19"/>
      <c r="F38" s="19"/>
      <c r="G38" s="19"/>
      <c r="H38" s="19"/>
      <c r="I38" s="19"/>
    </row>
    <row r="39" spans="1:9" ht="15" customHeight="1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5" customHeight="1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15" customHeight="1">
      <c r="A42" s="19"/>
      <c r="B42" s="19"/>
      <c r="C42" s="19"/>
      <c r="D42" s="19"/>
      <c r="E42" s="19"/>
      <c r="F42" s="19"/>
      <c r="G42" s="19"/>
      <c r="H42" s="19"/>
      <c r="I42" s="19"/>
    </row>
    <row r="43" spans="1:9" ht="15" customHeight="1">
      <c r="A43" s="19"/>
      <c r="B43" s="19"/>
      <c r="C43" s="19"/>
      <c r="D43" s="19"/>
      <c r="E43" s="19"/>
      <c r="F43" s="19"/>
      <c r="G43" s="19"/>
      <c r="H43" s="19"/>
      <c r="I43" s="19"/>
    </row>
    <row r="44" spans="1:9" ht="15" customHeight="1">
      <c r="A44" s="19"/>
      <c r="B44" s="19"/>
      <c r="C44" s="19"/>
      <c r="D44" s="19"/>
      <c r="E44" s="19"/>
      <c r="F44" s="19"/>
      <c r="G44" s="19"/>
      <c r="H44" s="19"/>
      <c r="I44" s="19"/>
    </row>
    <row r="45" spans="1:9" ht="15" customHeight="1">
      <c r="A45" s="19"/>
      <c r="B45" s="19"/>
      <c r="C45" s="19"/>
      <c r="D45" s="19"/>
      <c r="E45" s="19"/>
      <c r="F45" s="19"/>
      <c r="G45" s="19"/>
      <c r="H45" s="19"/>
      <c r="I45" s="19"/>
    </row>
    <row r="46" spans="1:9" ht="90" customHeight="1">
      <c r="A46" s="19"/>
      <c r="B46" s="19"/>
      <c r="C46" s="19"/>
      <c r="D46" s="19"/>
      <c r="E46" s="19"/>
      <c r="F46" s="19"/>
      <c r="G46" s="19"/>
      <c r="H46" s="19"/>
      <c r="I46" s="19"/>
    </row>
    <row r="47" spans="1:9" ht="24" customHeight="1">
      <c r="A47" s="25" t="s">
        <v>41</v>
      </c>
      <c r="B47" s="22"/>
      <c r="C47" s="22"/>
      <c r="D47" s="22"/>
      <c r="E47" s="22"/>
      <c r="F47" s="22"/>
      <c r="G47" s="22"/>
      <c r="H47" s="22"/>
      <c r="I47" s="22"/>
    </row>
    <row r="48" spans="1:9" ht="15" customHeight="1">
      <c r="A48" s="6" t="s">
        <v>42</v>
      </c>
      <c r="B48" s="33" t="s">
        <v>43</v>
      </c>
      <c r="C48" s="29"/>
      <c r="D48" s="29"/>
      <c r="E48" s="29"/>
      <c r="F48" s="29"/>
      <c r="G48" s="29"/>
      <c r="H48" s="29"/>
      <c r="I48" s="29"/>
    </row>
    <row r="49" spans="1:9" ht="63.95" customHeight="1">
      <c r="A49" s="13" t="s">
        <v>44</v>
      </c>
      <c r="B49" s="24" t="s">
        <v>45</v>
      </c>
      <c r="C49" s="22"/>
      <c r="D49" s="22"/>
      <c r="E49" s="22"/>
      <c r="F49" s="22"/>
      <c r="G49" s="22"/>
      <c r="H49" s="22"/>
      <c r="I49" s="22"/>
    </row>
    <row r="50" spans="1:9" ht="63.95" customHeight="1">
      <c r="A50" s="13" t="s">
        <v>46</v>
      </c>
      <c r="B50" s="24" t="s">
        <v>47</v>
      </c>
      <c r="C50" s="22"/>
      <c r="D50" s="22"/>
      <c r="E50" s="22"/>
      <c r="F50" s="22"/>
      <c r="G50" s="22"/>
      <c r="H50" s="22"/>
      <c r="I50" s="22"/>
    </row>
    <row r="51" spans="1:9" ht="63.95" customHeight="1">
      <c r="A51" s="20" t="s">
        <v>48</v>
      </c>
      <c r="B51" s="24" t="s">
        <v>49</v>
      </c>
      <c r="C51" s="22"/>
      <c r="D51" s="22"/>
      <c r="E51" s="22"/>
      <c r="F51" s="22"/>
      <c r="G51" s="22"/>
      <c r="H51" s="22"/>
      <c r="I51" s="22"/>
    </row>
    <row r="52" spans="1:9" ht="63.95" customHeight="1">
      <c r="A52" s="13" t="s">
        <v>50</v>
      </c>
      <c r="B52" s="24" t="s">
        <v>51</v>
      </c>
      <c r="C52" s="22"/>
      <c r="D52" s="22"/>
      <c r="E52" s="22"/>
      <c r="F52" s="22"/>
      <c r="G52" s="22"/>
      <c r="H52" s="22"/>
      <c r="I52" s="22"/>
    </row>
    <row r="53" spans="1:9" ht="15" customHeight="1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>
      <c r="A54" s="1"/>
      <c r="B54" s="1"/>
      <c r="C54" s="1"/>
      <c r="D54" s="1"/>
      <c r="E54" s="1"/>
      <c r="F54" s="1"/>
      <c r="G54" s="1"/>
      <c r="H54" s="1"/>
      <c r="I54" s="1"/>
    </row>
    <row r="55" spans="1:9" ht="15" customHeight="1">
      <c r="A55" s="1"/>
      <c r="B55" s="1"/>
      <c r="C55" s="1"/>
      <c r="D55" s="1"/>
      <c r="E55" s="1"/>
      <c r="F55" s="1"/>
      <c r="G55" s="1"/>
      <c r="H55" s="1"/>
      <c r="I55" s="1"/>
    </row>
    <row r="56" spans="1:9" ht="15" customHeight="1">
      <c r="A56" s="1"/>
      <c r="B56" s="1"/>
      <c r="C56" s="1"/>
      <c r="D56" s="1"/>
      <c r="E56" s="1"/>
      <c r="F56" s="1"/>
      <c r="G56" s="1"/>
      <c r="H56" s="1"/>
      <c r="I56" s="1"/>
    </row>
  </sheetData>
  <mergeCells count="23">
    <mergeCell ref="A7:I7"/>
    <mergeCell ref="A3:I3"/>
    <mergeCell ref="B12:I12"/>
    <mergeCell ref="B52:I52"/>
    <mergeCell ref="B48:I48"/>
    <mergeCell ref="B49:I49"/>
    <mergeCell ref="B51:I51"/>
    <mergeCell ref="A1:I1"/>
    <mergeCell ref="A4:I5"/>
    <mergeCell ref="B50:I50"/>
    <mergeCell ref="A2:I2"/>
    <mergeCell ref="A47:I47"/>
    <mergeCell ref="B11:I11"/>
    <mergeCell ref="A32:I32"/>
    <mergeCell ref="A17:I17"/>
    <mergeCell ref="B14:I14"/>
    <mergeCell ref="B8:I8"/>
    <mergeCell ref="A29:I29"/>
    <mergeCell ref="B13:I13"/>
    <mergeCell ref="B10:I10"/>
    <mergeCell ref="A31:I31"/>
    <mergeCell ref="B9:I9"/>
    <mergeCell ref="B15:I15"/>
  </mergeCells>
  <dataValidations count="4">
    <dataValidation type="list" sqref="A19:A27" xr:uid="{00000000-0002-0000-0000-000000000000}">
      <formula1>"Bubble Sort,Insertion Sort,Selection Sort,Merge Sort,Quick Sort,Heap Sort"</formula1>
    </dataValidation>
    <dataValidation type="list" sqref="B19:B27" xr:uid="{00000000-0002-0000-0000-000001000000}">
      <formula1>"O(n log n),O(n²),"</formula1>
    </dataValidation>
    <dataValidation showDropDown="1" sqref="I19:I27" xr:uid="{00000000-0002-0000-0000-000002000000}"/>
    <dataValidation sqref="D19:H27" xr:uid="{00000000-0002-0000-0000-000003000000}"/>
  </dataValidations>
  <hyperlinks>
    <hyperlink ref="B15" r:id="rId1" xr:uid="{783FAA4A-8F36-4E3B-8F15-F40852643952}"/>
  </hyperlinks>
  <pageMargins left="0.25" right="0.25" top="0.75" bottom="0.75" header="0.3" footer="0.3"/>
  <pageSetup paperSize="9" scale="56" fitToWidth="0" orientation="portrait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- Ordenação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cunha</cp:lastModifiedBy>
  <cp:lastPrinted>2026-05-15T01:37:28Z</cp:lastPrinted>
  <dcterms:created xsi:type="dcterms:W3CDTF">2026-05-16T12:17:03Z</dcterms:created>
  <dcterms:modified xsi:type="dcterms:W3CDTF">2026-05-16T13:41:49Z</dcterms:modified>
</cp:coreProperties>
</file>